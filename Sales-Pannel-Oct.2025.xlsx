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 (2)" sheetId="1" state="visible" r:id="rId3"/>
  </sheets>
  <definedNames>
    <definedName function="false" hidden="true" localSheetId="0" name="_xlnm._FilterDatabase" vbProcedure="false">'SUM (2)'!$A$5:$AD$32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<sst xmlns="http://schemas.openxmlformats.org/spreadsheetml/2006/main" count="111" uniqueCount="61">
  <si>
    <t xml:space="preserve">KLoud Technologies Limited</t>
  </si>
  <si>
    <t xml:space="preserve">SUMMARY OF Bill Receivable</t>
  </si>
  <si>
    <t xml:space="preserve">For the month of October-2025</t>
  </si>
  <si>
    <t xml:space="preserve">S/L </t>
  </si>
  <si>
    <t xml:space="preserve">Name Of Party</t>
  </si>
  <si>
    <t xml:space="preserve">Address</t>
  </si>
  <si>
    <t xml:space="preserve">E-mail</t>
  </si>
  <si>
    <t xml:space="preserve">Proprietor  Name</t>
  </si>
  <si>
    <t xml:space="preserve">Phone Number</t>
  </si>
  <si>
    <t xml:space="preserve">Link ID</t>
  </si>
  <si>
    <t xml:space="preserve">NTTN  Com</t>
  </si>
  <si>
    <t xml:space="preserve">NTTN  Cap</t>
  </si>
  <si>
    <t xml:space="preserve">Active Date</t>
  </si>
  <si>
    <t xml:space="preserve">Billing Date</t>
  </si>
  <si>
    <t xml:space="preserve">Termination Date</t>
  </si>
  <si>
    <t xml:space="preserve">IIG-QT</t>
  </si>
  <si>
    <t xml:space="preserve">Price</t>
  </si>
  <si>
    <t xml:space="preserve">FNA</t>
  </si>
  <si>
    <t xml:space="preserve">GGC</t>
  </si>
  <si>
    <t xml:space="preserve">CDN</t>
  </si>
  <si>
    <t xml:space="preserve">BDIX</t>
  </si>
  <si>
    <t xml:space="preserve">BAISHAN</t>
  </si>
  <si>
    <t xml:space="preserve">Total Bill</t>
  </si>
  <si>
    <t xml:space="preserve">Total Received</t>
  </si>
  <si>
    <t xml:space="preserve">Total Due</t>
  </si>
  <si>
    <t xml:space="preserve">Discount</t>
  </si>
  <si>
    <t xml:space="preserve">Remarks</t>
  </si>
  <si>
    <t xml:space="preserve">KAM</t>
  </si>
  <si>
    <t xml:space="preserve">CyberXTech Dakshinsurma (JOKIGONJ)</t>
  </si>
  <si>
    <t xml:space="preserve">Nahid Kamal</t>
  </si>
  <si>
    <t xml:space="preserve">'01913389536, 01300800114</t>
  </si>
  <si>
    <t xml:space="preserve">Active</t>
  </si>
  <si>
    <t xml:space="preserve">Md Abul Hossain</t>
  </si>
  <si>
    <t xml:space="preserve">Tiger Online</t>
  </si>
  <si>
    <t xml:space="preserve">SP Nate Communications, Mirpur-1</t>
  </si>
  <si>
    <t xml:space="preserve">Syed Zakaria Mahfuz</t>
  </si>
  <si>
    <t xml:space="preserve">Sotota-cable &amp; Business Network</t>
  </si>
  <si>
    <t xml:space="preserve">Md. Hazrat Ali</t>
  </si>
  <si>
    <t xml:space="preserve">Kedarpur Communication</t>
  </si>
  <si>
    <t xml:space="preserve">OVI Link Mowna</t>
  </si>
  <si>
    <t xml:space="preserve">Kadamtola Wifi Zone</t>
  </si>
  <si>
    <t xml:space="preserve">Bandarban Online</t>
  </si>
  <si>
    <t xml:space="preserve">Ma Telecom Network</t>
  </si>
  <si>
    <t xml:space="preserve">Shah Sultan Network System</t>
  </si>
  <si>
    <t xml:space="preserve">S-Khan Network System</t>
  </si>
  <si>
    <t xml:space="preserve">My Network</t>
  </si>
  <si>
    <t xml:space="preserve">My Network-2</t>
  </si>
  <si>
    <t xml:space="preserve">Speed wifi</t>
  </si>
  <si>
    <t xml:space="preserve">Adil online</t>
  </si>
  <si>
    <t xml:space="preserve">Rony</t>
  </si>
  <si>
    <t xml:space="preserve">GAZI SHIHAB </t>
  </si>
  <si>
    <t xml:space="preserve">Chouddagram Online</t>
  </si>
  <si>
    <t xml:space="preserve">Up Net Feni</t>
  </si>
  <si>
    <t xml:space="preserve">Star Speed</t>
  </si>
  <si>
    <t xml:space="preserve">Digital Online</t>
  </si>
  <si>
    <t xml:space="preserve">Esrak Cable Network</t>
  </si>
  <si>
    <t xml:space="preserve">Sumon Online</t>
  </si>
  <si>
    <t xml:space="preserve">Cheri Enterprise</t>
  </si>
  <si>
    <t xml:space="preserve">ST Online ,Feni</t>
  </si>
  <si>
    <t xml:space="preserve">Farid Internet</t>
  </si>
  <si>
    <t xml:space="preserve">TOTAL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</si>
</sst>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1"/>
      <color theme="9" tint="-0.25"/>
      <name val="Calibri"/>
      <family val="2"/>
      <charset val="1"/>
    </font>
    <font>
      <sz val="11"/>
      <color rgb="FF00B0F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1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4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5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3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4" topLeftCell="A14" activePane="bottomLeft" state="frozen"/>
      <selection pane="topLeft" activeCell="E1" activeCellId="0" sqref="E1"/>
      <selection pane="bottomLeft" activeCell="K35" activeCellId="0" sqref="K35"/>
    </sheetView>
  </sheetViews>
  <sheetFormatPr defaultColWidth="8.632812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35.71"/>
    <col collapsed="false" customWidth="true" hidden="false" outlineLevel="0" max="4" min="3" style="0" width="8.15"/>
    <col collapsed="false" customWidth="true" hidden="false" outlineLevel="0" max="5" min="5" style="0" width="16.43"/>
    <col collapsed="false" customWidth="true" hidden="false" outlineLevel="0" max="6" min="6" style="0" width="14.57"/>
    <col collapsed="false" customWidth="true" hidden="false" outlineLevel="0" max="7" min="7" style="0" width="2.86"/>
    <col collapsed="false" customWidth="true" hidden="false" outlineLevel="0" max="12" min="8" style="0" width="11.53"/>
    <col collapsed="false" customWidth="true" hidden="false" outlineLevel="0" max="13" min="13" style="0" width="7.42"/>
    <col collapsed="false" customWidth="true" hidden="false" outlineLevel="0" max="14" min="14" style="0" width="5.42"/>
    <col collapsed="false" customWidth="true" hidden="false" outlineLevel="0" max="15" min="15" style="0" width="7.42"/>
    <col collapsed="false" customWidth="true" hidden="false" outlineLevel="0" max="16" min="16" style="0" width="5.42"/>
    <col collapsed="false" customWidth="true" hidden="false" outlineLevel="0" max="17" min="17" style="0" width="7.42"/>
    <col collapsed="false" customWidth="true" hidden="false" outlineLevel="0" max="18" min="18" style="0" width="5.42"/>
    <col collapsed="false" customWidth="true" hidden="false" outlineLevel="0" max="19" min="19" style="0" width="6.43"/>
    <col collapsed="false" customWidth="true" hidden="false" outlineLevel="0" max="20" min="20" style="0" width="5.42"/>
    <col collapsed="false" customWidth="true" hidden="false" outlineLevel="0" max="21" min="21" style="0" width="6.43"/>
    <col collapsed="false" customWidth="true" hidden="false" outlineLevel="0" max="28" min="22" style="0" width="5.42"/>
    <col collapsed="false" customWidth="true" hidden="false" outlineLevel="0" max="29" min="29" style="0" width="10.57"/>
    <col collapsed="false" customWidth="true" hidden="false" outlineLevel="0" max="30" min="30" style="0" width="19.29"/>
  </cols>
  <sheetData>
    <row r="1" customFormat="false" ht="23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7.3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="10" customFormat="true" ht="67.35" hidden="false" customHeight="fals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6" t="s">
        <v>17</v>
      </c>
      <c r="P4" s="5" t="s">
        <v>16</v>
      </c>
      <c r="Q4" s="6" t="s">
        <v>18</v>
      </c>
      <c r="R4" s="5" t="s">
        <v>16</v>
      </c>
      <c r="S4" s="6" t="s">
        <v>19</v>
      </c>
      <c r="T4" s="5" t="s">
        <v>16</v>
      </c>
      <c r="U4" s="6" t="s">
        <v>20</v>
      </c>
      <c r="V4" s="5" t="s">
        <v>16</v>
      </c>
      <c r="W4" s="7" t="s">
        <v>21</v>
      </c>
      <c r="X4" s="5" t="s">
        <v>16</v>
      </c>
      <c r="Y4" s="5" t="s">
        <v>22</v>
      </c>
      <c r="Z4" s="5" t="s">
        <v>23</v>
      </c>
      <c r="AA4" s="5" t="s">
        <v>24</v>
      </c>
      <c r="AB4" s="5" t="s">
        <v>25</v>
      </c>
      <c r="AC4" s="8" t="s">
        <v>26</v>
      </c>
      <c r="AD4" s="9" t="s">
        <v>27</v>
      </c>
    </row>
    <row r="5" customFormat="false" ht="15.75" hidden="false" customHeight="true" outlineLevel="0" collapsed="false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  <c r="AD5" s="16"/>
    </row>
    <row r="6" customFormat="false" ht="27.75" hidden="false" customHeight="false" outlineLevel="0" collapsed="false">
      <c r="A6" s="17" t="n">
        <v>1</v>
      </c>
      <c r="B6" s="18" t="s">
        <v>28</v>
      </c>
      <c r="C6" s="18"/>
      <c r="D6" s="18"/>
      <c r="E6" s="18" t="s">
        <v>29</v>
      </c>
      <c r="F6" s="18" t="s">
        <v>30</v>
      </c>
      <c r="G6" s="18"/>
      <c r="H6" s="18"/>
      <c r="I6" s="18"/>
      <c r="J6" s="18"/>
      <c r="K6" s="18"/>
      <c r="L6" s="18"/>
      <c r="M6" s="19" t="n">
        <f aca="false">300+300</f>
        <v>600</v>
      </c>
      <c r="N6" s="19" t="n">
        <v>180</v>
      </c>
      <c r="O6" s="19" t="n">
        <v>1000</v>
      </c>
      <c r="P6" s="19" t="n">
        <v>25</v>
      </c>
      <c r="Q6" s="19" t="n">
        <v>2000</v>
      </c>
      <c r="R6" s="19" t="n">
        <v>20</v>
      </c>
      <c r="S6" s="19" t="n">
        <v>600</v>
      </c>
      <c r="T6" s="19" t="n">
        <v>30</v>
      </c>
      <c r="U6" s="19"/>
      <c r="V6" s="19"/>
      <c r="W6" s="19"/>
      <c r="X6" s="19"/>
      <c r="Y6" s="19"/>
      <c r="Z6" s="19"/>
      <c r="AA6" s="19"/>
      <c r="AB6" s="20"/>
      <c r="AC6" s="21" t="s">
        <v>31</v>
      </c>
      <c r="AD6" s="22" t="s">
        <v>32</v>
      </c>
    </row>
    <row r="7" customFormat="false" ht="15" hidden="false" customHeight="false" outlineLevel="0" collapsed="false">
      <c r="A7" s="17" t="n">
        <v>2</v>
      </c>
      <c r="B7" s="18" t="s">
        <v>33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9" t="n">
        <v>265</v>
      </c>
      <c r="N7" s="19" t="n">
        <v>215</v>
      </c>
      <c r="O7" s="19" t="n">
        <v>515</v>
      </c>
      <c r="P7" s="19" t="n">
        <v>39</v>
      </c>
      <c r="Q7" s="19" t="n">
        <v>650</v>
      </c>
      <c r="R7" s="19" t="n">
        <v>34</v>
      </c>
      <c r="S7" s="19" t="n">
        <v>30</v>
      </c>
      <c r="T7" s="19" t="n">
        <v>90</v>
      </c>
      <c r="U7" s="19" t="n">
        <v>50</v>
      </c>
      <c r="V7" s="19" t="n">
        <v>17</v>
      </c>
      <c r="W7" s="19" t="n">
        <v>100</v>
      </c>
      <c r="X7" s="19" t="n">
        <v>40</v>
      </c>
      <c r="Y7" s="19"/>
      <c r="Z7" s="19"/>
      <c r="AA7" s="19"/>
      <c r="AB7" s="20"/>
      <c r="AC7" s="23" t="s">
        <v>31</v>
      </c>
      <c r="AD7" s="24" t="s">
        <v>32</v>
      </c>
    </row>
    <row r="8" customFormat="false" ht="15" hidden="false" customHeight="false" outlineLevel="0" collapsed="false">
      <c r="A8" s="17" t="n">
        <v>3</v>
      </c>
      <c r="B8" s="18" t="s">
        <v>34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9" t="n">
        <v>120</v>
      </c>
      <c r="N8" s="19" t="n">
        <v>220</v>
      </c>
      <c r="O8" s="19" t="n">
        <v>300</v>
      </c>
      <c r="P8" s="19" t="n">
        <v>30</v>
      </c>
      <c r="Q8" s="19" t="n">
        <v>300</v>
      </c>
      <c r="R8" s="19" t="n">
        <v>25</v>
      </c>
      <c r="S8" s="19"/>
      <c r="T8" s="19"/>
      <c r="U8" s="19"/>
      <c r="V8" s="19"/>
      <c r="W8" s="19"/>
      <c r="X8" s="19"/>
      <c r="Y8" s="19"/>
      <c r="Z8" s="19"/>
      <c r="AA8" s="19"/>
      <c r="AB8" s="20"/>
      <c r="AC8" s="23" t="s">
        <v>31</v>
      </c>
      <c r="AD8" s="24" t="s">
        <v>35</v>
      </c>
    </row>
    <row r="9" customFormat="false" ht="15" hidden="false" customHeight="false" outlineLevel="0" collapsed="false">
      <c r="A9" s="17" t="n">
        <v>4</v>
      </c>
      <c r="B9" s="18" t="s">
        <v>36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9" t="n">
        <v>1110</v>
      </c>
      <c r="N9" s="19" t="n">
        <v>225</v>
      </c>
      <c r="O9" s="19" t="n">
        <v>1900</v>
      </c>
      <c r="P9" s="19" t="n">
        <v>48</v>
      </c>
      <c r="Q9" s="19" t="n">
        <v>2600</v>
      </c>
      <c r="R9" s="19" t="n">
        <v>45</v>
      </c>
      <c r="S9" s="19" t="n">
        <v>560</v>
      </c>
      <c r="T9" s="19" t="n">
        <v>105</v>
      </c>
      <c r="U9" s="19" t="n">
        <v>250</v>
      </c>
      <c r="V9" s="19" t="n">
        <v>28</v>
      </c>
      <c r="W9" s="19"/>
      <c r="X9" s="19"/>
      <c r="Y9" s="19"/>
      <c r="Z9" s="19"/>
      <c r="AA9" s="19"/>
      <c r="AB9" s="20"/>
      <c r="AC9" s="23" t="s">
        <v>31</v>
      </c>
      <c r="AD9" s="24" t="s">
        <v>37</v>
      </c>
    </row>
    <row r="10" customFormat="false" ht="15" hidden="false" customHeight="false" outlineLevel="0" collapsed="false">
      <c r="A10" s="17" t="n">
        <v>5</v>
      </c>
      <c r="B10" s="18" t="s">
        <v>38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 t="n">
        <v>500</v>
      </c>
      <c r="N10" s="19" t="n">
        <v>220</v>
      </c>
      <c r="O10" s="19" t="n">
        <v>750</v>
      </c>
      <c r="P10" s="19" t="n">
        <v>45</v>
      </c>
      <c r="Q10" s="19" t="n">
        <v>1000</v>
      </c>
      <c r="R10" s="19" t="n">
        <v>40</v>
      </c>
      <c r="S10" s="19" t="n">
        <v>250</v>
      </c>
      <c r="T10" s="19" t="n">
        <v>100</v>
      </c>
      <c r="U10" s="19" t="n">
        <v>100</v>
      </c>
      <c r="V10" s="19" t="n">
        <v>25</v>
      </c>
      <c r="W10" s="19"/>
      <c r="X10" s="19"/>
      <c r="Y10" s="19"/>
      <c r="Z10" s="19"/>
      <c r="AA10" s="19"/>
      <c r="AB10" s="20"/>
      <c r="AC10" s="23" t="s">
        <v>31</v>
      </c>
      <c r="AD10" s="24" t="s">
        <v>35</v>
      </c>
    </row>
    <row r="11" customFormat="false" ht="15" hidden="false" customHeight="false" outlineLevel="0" collapsed="false">
      <c r="A11" s="17" t="n">
        <v>6</v>
      </c>
      <c r="B11" s="18" t="s">
        <v>39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 t="n">
        <f aca="false">80+10</f>
        <v>90</v>
      </c>
      <c r="N11" s="19" t="n">
        <v>210</v>
      </c>
      <c r="O11" s="19" t="n">
        <v>240</v>
      </c>
      <c r="P11" s="19" t="n">
        <v>35</v>
      </c>
      <c r="Q11" s="19" t="n">
        <v>280</v>
      </c>
      <c r="R11" s="19" t="n">
        <v>32</v>
      </c>
      <c r="S11" s="19" t="n">
        <v>50</v>
      </c>
      <c r="T11" s="19" t="n">
        <v>100</v>
      </c>
      <c r="U11" s="19" t="n">
        <v>15</v>
      </c>
      <c r="V11" s="19" t="n">
        <v>15</v>
      </c>
      <c r="W11" s="19"/>
      <c r="X11" s="19"/>
      <c r="Y11" s="19"/>
      <c r="Z11" s="19"/>
      <c r="AA11" s="19"/>
      <c r="AB11" s="20"/>
      <c r="AC11" s="23" t="s">
        <v>31</v>
      </c>
      <c r="AD11" s="24" t="s">
        <v>35</v>
      </c>
    </row>
    <row r="12" customFormat="false" ht="15" hidden="false" customHeight="false" outlineLevel="0" collapsed="false">
      <c r="A12" s="17" t="n">
        <v>7</v>
      </c>
      <c r="B12" s="18" t="s">
        <v>40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 t="n">
        <v>121</v>
      </c>
      <c r="N12" s="19" t="n">
        <v>225</v>
      </c>
      <c r="O12" s="19" t="n">
        <v>325</v>
      </c>
      <c r="P12" s="19" t="n">
        <v>45</v>
      </c>
      <c r="Q12" s="19" t="n">
        <v>425</v>
      </c>
      <c r="R12" s="19" t="n">
        <v>40</v>
      </c>
      <c r="S12" s="19" t="n">
        <v>30</v>
      </c>
      <c r="T12" s="19" t="n">
        <v>110</v>
      </c>
      <c r="U12" s="19" t="n">
        <v>131</v>
      </c>
      <c r="V12" s="19" t="n">
        <v>25</v>
      </c>
      <c r="W12" s="19"/>
      <c r="X12" s="19"/>
      <c r="Y12" s="19"/>
      <c r="Z12" s="19"/>
      <c r="AA12" s="19"/>
      <c r="AB12" s="20"/>
      <c r="AC12" s="23" t="s">
        <v>31</v>
      </c>
      <c r="AD12" s="24" t="s">
        <v>35</v>
      </c>
    </row>
    <row r="13" customFormat="false" ht="15" hidden="false" customHeight="false" outlineLevel="0" collapsed="false">
      <c r="A13" s="17" t="n">
        <v>8</v>
      </c>
      <c r="B13" s="18" t="s">
        <v>41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9" t="n">
        <v>300</v>
      </c>
      <c r="N13" s="19" t="n">
        <v>220</v>
      </c>
      <c r="O13" s="19" t="n">
        <v>530</v>
      </c>
      <c r="P13" s="19" t="n">
        <v>45</v>
      </c>
      <c r="Q13" s="19" t="n">
        <v>500</v>
      </c>
      <c r="R13" s="19" t="n">
        <v>42</v>
      </c>
      <c r="S13" s="19"/>
      <c r="T13" s="19"/>
      <c r="U13" s="19" t="n">
        <v>100</v>
      </c>
      <c r="V13" s="19" t="n">
        <v>23</v>
      </c>
      <c r="W13" s="19"/>
      <c r="X13" s="19"/>
      <c r="Y13" s="19"/>
      <c r="Z13" s="19"/>
      <c r="AA13" s="19"/>
      <c r="AB13" s="20"/>
      <c r="AC13" s="23" t="s">
        <v>31</v>
      </c>
      <c r="AD13" s="24" t="s">
        <v>37</v>
      </c>
    </row>
    <row r="14" customFormat="false" ht="15" hidden="false" customHeight="false" outlineLevel="0" collapsed="false">
      <c r="A14" s="17" t="n">
        <v>9</v>
      </c>
      <c r="B14" s="18" t="s">
        <v>42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 t="n">
        <v>280</v>
      </c>
      <c r="N14" s="19" t="n">
        <v>200</v>
      </c>
      <c r="O14" s="19" t="n">
        <v>440</v>
      </c>
      <c r="P14" s="19" t="n">
        <v>40</v>
      </c>
      <c r="Q14" s="19" t="n">
        <v>650</v>
      </c>
      <c r="R14" s="19" t="n">
        <v>30</v>
      </c>
      <c r="S14" s="19" t="n">
        <v>170</v>
      </c>
      <c r="T14" s="19" t="n">
        <v>80</v>
      </c>
      <c r="U14" s="19" t="n">
        <v>100</v>
      </c>
      <c r="V14" s="19" t="n">
        <v>18</v>
      </c>
      <c r="W14" s="19"/>
      <c r="X14" s="19"/>
      <c r="Y14" s="19"/>
      <c r="Z14" s="19"/>
      <c r="AA14" s="19"/>
      <c r="AB14" s="20"/>
      <c r="AC14" s="23" t="s">
        <v>31</v>
      </c>
      <c r="AD14" s="24" t="s">
        <v>35</v>
      </c>
    </row>
    <row r="15" customFormat="false" ht="15" hidden="false" customHeight="false" outlineLevel="0" collapsed="false">
      <c r="A15" s="17" t="n">
        <v>10</v>
      </c>
      <c r="B15" s="18" t="s">
        <v>43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" t="n">
        <v>130</v>
      </c>
      <c r="N15" s="19" t="n">
        <v>220</v>
      </c>
      <c r="O15" s="19" t="n">
        <v>280</v>
      </c>
      <c r="P15" s="19" t="n">
        <v>38</v>
      </c>
      <c r="Q15" s="19" t="n">
        <v>380</v>
      </c>
      <c r="R15" s="19" t="n">
        <v>35</v>
      </c>
      <c r="S15" s="19" t="n">
        <v>70</v>
      </c>
      <c r="T15" s="19" t="n">
        <v>90</v>
      </c>
      <c r="U15" s="19" t="n">
        <v>100</v>
      </c>
      <c r="V15" s="19" t="n">
        <v>20</v>
      </c>
      <c r="W15" s="19"/>
      <c r="X15" s="19"/>
      <c r="Y15" s="19"/>
      <c r="Z15" s="19"/>
      <c r="AA15" s="19"/>
      <c r="AB15" s="20"/>
      <c r="AC15" s="23" t="s">
        <v>31</v>
      </c>
      <c r="AD15" s="24" t="s">
        <v>32</v>
      </c>
    </row>
    <row r="16" customFormat="false" ht="15" hidden="false" customHeight="false" outlineLevel="0" collapsed="false">
      <c r="A16" s="17" t="n">
        <v>11</v>
      </c>
      <c r="B16" s="18" t="s">
        <v>44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 t="n">
        <v>100</v>
      </c>
      <c r="N16" s="19" t="n">
        <v>200</v>
      </c>
      <c r="O16" s="19" t="n">
        <v>190</v>
      </c>
      <c r="P16" s="19" t="n">
        <v>40</v>
      </c>
      <c r="Q16" s="19" t="n">
        <v>270</v>
      </c>
      <c r="R16" s="19" t="n">
        <v>30</v>
      </c>
      <c r="S16" s="19" t="n">
        <v>50</v>
      </c>
      <c r="T16" s="19" t="n">
        <v>90</v>
      </c>
      <c r="U16" s="19" t="n">
        <v>40</v>
      </c>
      <c r="V16" s="19" t="n">
        <v>17</v>
      </c>
      <c r="W16" s="19"/>
      <c r="X16" s="19"/>
      <c r="Y16" s="19"/>
      <c r="Z16" s="19"/>
      <c r="AA16" s="19"/>
      <c r="AB16" s="20"/>
      <c r="AC16" s="23" t="s">
        <v>31</v>
      </c>
      <c r="AD16" s="24" t="s">
        <v>32</v>
      </c>
    </row>
    <row r="17" customFormat="false" ht="15" hidden="false" customHeight="false" outlineLevel="0" collapsed="false">
      <c r="A17" s="17" t="n">
        <v>12</v>
      </c>
      <c r="B17" s="18" t="s">
        <v>45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 t="n">
        <v>400</v>
      </c>
      <c r="N17" s="19" t="n">
        <v>200</v>
      </c>
      <c r="O17" s="19" t="n">
        <v>550</v>
      </c>
      <c r="P17" s="19" t="n">
        <v>35</v>
      </c>
      <c r="Q17" s="19" t="n">
        <v>600</v>
      </c>
      <c r="R17" s="19" t="n">
        <v>30</v>
      </c>
      <c r="S17" s="19" t="n">
        <v>100</v>
      </c>
      <c r="T17" s="19" t="n">
        <v>80</v>
      </c>
      <c r="U17" s="19" t="n">
        <v>100</v>
      </c>
      <c r="V17" s="19" t="n">
        <v>15</v>
      </c>
      <c r="W17" s="19"/>
      <c r="X17" s="19"/>
      <c r="Y17" s="19"/>
      <c r="Z17" s="19"/>
      <c r="AA17" s="19"/>
      <c r="AB17" s="20"/>
      <c r="AC17" s="23" t="s">
        <v>31</v>
      </c>
      <c r="AD17" s="24" t="s">
        <v>32</v>
      </c>
    </row>
    <row r="18" customFormat="false" ht="15" hidden="false" customHeight="false" outlineLevel="0" collapsed="false">
      <c r="A18" s="17" t="n">
        <v>13</v>
      </c>
      <c r="B18" s="18" t="s">
        <v>46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 t="n">
        <v>115</v>
      </c>
      <c r="N18" s="19" t="n">
        <v>210</v>
      </c>
      <c r="O18" s="19" t="n">
        <v>220</v>
      </c>
      <c r="P18" s="19" t="n">
        <v>35</v>
      </c>
      <c r="Q18" s="19" t="n">
        <v>250</v>
      </c>
      <c r="R18" s="19" t="n">
        <v>30</v>
      </c>
      <c r="S18" s="19" t="n">
        <v>30</v>
      </c>
      <c r="T18" s="19" t="n">
        <v>80</v>
      </c>
      <c r="U18" s="19" t="n">
        <v>100</v>
      </c>
      <c r="V18" s="19" t="n">
        <v>15</v>
      </c>
      <c r="W18" s="19"/>
      <c r="X18" s="19"/>
      <c r="Y18" s="19"/>
      <c r="Z18" s="19"/>
      <c r="AA18" s="19"/>
      <c r="AB18" s="20"/>
      <c r="AC18" s="23" t="s">
        <v>31</v>
      </c>
      <c r="AD18" s="24" t="s">
        <v>32</v>
      </c>
    </row>
    <row r="19" customFormat="false" ht="15" hidden="false" customHeight="false" outlineLevel="0" collapsed="false">
      <c r="A19" s="17" t="n">
        <v>14</v>
      </c>
      <c r="B19" s="18" t="s">
        <v>47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 t="n">
        <v>250</v>
      </c>
      <c r="N19" s="19" t="n">
        <v>225</v>
      </c>
      <c r="O19" s="19" t="n">
        <v>450</v>
      </c>
      <c r="P19" s="19" t="n">
        <v>40</v>
      </c>
      <c r="Q19" s="19" t="n">
        <v>500</v>
      </c>
      <c r="R19" s="19" t="n">
        <v>30</v>
      </c>
      <c r="S19" s="19" t="n">
        <v>150</v>
      </c>
      <c r="T19" s="19" t="n">
        <v>90</v>
      </c>
      <c r="U19" s="19" t="n">
        <v>100</v>
      </c>
      <c r="V19" s="19" t="n">
        <v>25</v>
      </c>
      <c r="W19" s="19"/>
      <c r="X19" s="19"/>
      <c r="Y19" s="19"/>
      <c r="Z19" s="19"/>
      <c r="AA19" s="19"/>
      <c r="AB19" s="20"/>
      <c r="AC19" s="23" t="s">
        <v>31</v>
      </c>
      <c r="AD19" s="24" t="s">
        <v>37</v>
      </c>
    </row>
    <row r="20" customFormat="false" ht="15" hidden="false" customHeight="false" outlineLevel="0" collapsed="false">
      <c r="A20" s="17" t="n">
        <v>15</v>
      </c>
      <c r="B20" s="18" t="s">
        <v>48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 t="n">
        <v>700</v>
      </c>
      <c r="N20" s="19" t="n">
        <v>200</v>
      </c>
      <c r="O20" s="19" t="n">
        <v>800</v>
      </c>
      <c r="P20" s="19" t="n">
        <v>35</v>
      </c>
      <c r="Q20" s="19" t="n">
        <v>1300</v>
      </c>
      <c r="R20" s="19" t="n">
        <v>30</v>
      </c>
      <c r="S20" s="19" t="n">
        <v>350</v>
      </c>
      <c r="T20" s="19" t="n">
        <v>85</v>
      </c>
      <c r="U20" s="19" t="n">
        <v>100</v>
      </c>
      <c r="V20" s="19" t="n">
        <v>25</v>
      </c>
      <c r="W20" s="19"/>
      <c r="X20" s="19"/>
      <c r="Y20" s="19"/>
      <c r="Z20" s="19"/>
      <c r="AA20" s="19"/>
      <c r="AB20" s="20"/>
      <c r="AC20" s="23" t="s">
        <v>31</v>
      </c>
      <c r="AD20" s="24" t="s">
        <v>49</v>
      </c>
    </row>
    <row r="21" customFormat="false" ht="15" hidden="false" customHeight="false" outlineLevel="0" collapsed="false">
      <c r="A21" s="17" t="n">
        <v>16</v>
      </c>
      <c r="B21" s="18" t="s">
        <v>50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 t="n">
        <v>350</v>
      </c>
      <c r="N21" s="19" t="n">
        <v>200</v>
      </c>
      <c r="O21" s="19" t="n">
        <v>450</v>
      </c>
      <c r="P21" s="19" t="n">
        <v>35</v>
      </c>
      <c r="Q21" s="19" t="n">
        <v>700</v>
      </c>
      <c r="R21" s="19" t="n">
        <v>30</v>
      </c>
      <c r="S21" s="19" t="n">
        <v>200</v>
      </c>
      <c r="T21" s="19" t="n">
        <v>85</v>
      </c>
      <c r="U21" s="19" t="n">
        <v>50</v>
      </c>
      <c r="V21" s="19" t="n">
        <v>20</v>
      </c>
      <c r="W21" s="19"/>
      <c r="X21" s="19"/>
      <c r="Y21" s="19"/>
      <c r="Z21" s="19"/>
      <c r="AA21" s="19"/>
      <c r="AB21" s="20"/>
      <c r="AC21" s="23" t="s">
        <v>31</v>
      </c>
      <c r="AD21" s="24" t="s">
        <v>49</v>
      </c>
    </row>
    <row r="22" customFormat="false" ht="15" hidden="false" customHeight="false" outlineLevel="0" collapsed="false">
      <c r="A22" s="17" t="n">
        <v>17</v>
      </c>
      <c r="B22" s="18" t="s">
        <v>51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 t="n">
        <v>2100</v>
      </c>
      <c r="N22" s="19" t="n">
        <v>200</v>
      </c>
      <c r="O22" s="19" t="n">
        <v>3200</v>
      </c>
      <c r="P22" s="19" t="n">
        <v>33</v>
      </c>
      <c r="Q22" s="19" t="n">
        <v>3300</v>
      </c>
      <c r="R22" s="19" t="n">
        <v>28</v>
      </c>
      <c r="S22" s="19" t="n">
        <v>700</v>
      </c>
      <c r="T22" s="19" t="n">
        <v>80</v>
      </c>
      <c r="U22" s="19" t="n">
        <v>200</v>
      </c>
      <c r="V22" s="19" t="n">
        <v>20</v>
      </c>
      <c r="W22" s="19"/>
      <c r="X22" s="19"/>
      <c r="Y22" s="19"/>
      <c r="Z22" s="19"/>
      <c r="AA22" s="19"/>
      <c r="AB22" s="20"/>
      <c r="AC22" s="23" t="s">
        <v>31</v>
      </c>
      <c r="AD22" s="24" t="s">
        <v>49</v>
      </c>
    </row>
    <row r="23" customFormat="false" ht="15" hidden="false" customHeight="false" outlineLevel="0" collapsed="false">
      <c r="A23" s="17" t="n">
        <v>18</v>
      </c>
      <c r="B23" s="18" t="s">
        <v>52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 t="n">
        <v>350</v>
      </c>
      <c r="N23" s="19" t="n">
        <v>200</v>
      </c>
      <c r="O23" s="19" t="n">
        <v>700</v>
      </c>
      <c r="P23" s="19" t="n">
        <v>30</v>
      </c>
      <c r="Q23" s="19" t="n">
        <v>750</v>
      </c>
      <c r="R23" s="19" t="n">
        <v>35</v>
      </c>
      <c r="S23" s="19" t="n">
        <v>100</v>
      </c>
      <c r="T23" s="19" t="n">
        <v>80</v>
      </c>
      <c r="U23" s="19" t="n">
        <v>50</v>
      </c>
      <c r="V23" s="19" t="n">
        <v>20</v>
      </c>
      <c r="W23" s="19"/>
      <c r="X23" s="19"/>
      <c r="Y23" s="19"/>
      <c r="Z23" s="19"/>
      <c r="AA23" s="19"/>
      <c r="AB23" s="20"/>
      <c r="AC23" s="23" t="s">
        <v>31</v>
      </c>
      <c r="AD23" s="24" t="s">
        <v>49</v>
      </c>
    </row>
    <row r="24" customFormat="false" ht="15" hidden="false" customHeight="false" outlineLevel="0" collapsed="false">
      <c r="A24" s="17" t="n">
        <v>19</v>
      </c>
      <c r="B24" s="18" t="s">
        <v>53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 t="n">
        <v>550</v>
      </c>
      <c r="N24" s="19" t="n">
        <v>230</v>
      </c>
      <c r="O24" s="19" t="n">
        <v>900</v>
      </c>
      <c r="P24" s="19" t="n">
        <v>40</v>
      </c>
      <c r="Q24" s="19" t="n">
        <v>1000</v>
      </c>
      <c r="R24" s="19" t="n">
        <v>30</v>
      </c>
      <c r="S24" s="19" t="n">
        <v>200</v>
      </c>
      <c r="T24" s="19" t="n">
        <v>100</v>
      </c>
      <c r="U24" s="19" t="n">
        <v>200</v>
      </c>
      <c r="V24" s="19" t="n">
        <v>20</v>
      </c>
      <c r="W24" s="19"/>
      <c r="X24" s="19"/>
      <c r="Y24" s="19"/>
      <c r="Z24" s="19"/>
      <c r="AA24" s="19"/>
      <c r="AB24" s="20"/>
      <c r="AC24" s="23" t="s">
        <v>31</v>
      </c>
      <c r="AD24" s="24" t="s">
        <v>49</v>
      </c>
    </row>
    <row r="25" customFormat="false" ht="15" hidden="false" customHeight="false" outlineLevel="0" collapsed="false">
      <c r="A25" s="17" t="n">
        <v>20</v>
      </c>
      <c r="B25" s="25" t="s">
        <v>54</v>
      </c>
      <c r="M25" s="19" t="n">
        <v>250</v>
      </c>
      <c r="N25" s="19" t="n">
        <v>220</v>
      </c>
      <c r="O25" s="19" t="n">
        <v>450</v>
      </c>
      <c r="P25" s="19" t="n">
        <v>35</v>
      </c>
      <c r="Q25" s="19" t="n">
        <v>550</v>
      </c>
      <c r="R25" s="19" t="n">
        <v>30</v>
      </c>
      <c r="S25" s="19" t="n">
        <v>150</v>
      </c>
      <c r="T25" s="19" t="n">
        <v>80</v>
      </c>
      <c r="U25" s="19" t="n">
        <v>50</v>
      </c>
      <c r="V25" s="19" t="n">
        <v>25</v>
      </c>
      <c r="W25" s="19"/>
      <c r="X25" s="19"/>
      <c r="Y25" s="19"/>
      <c r="Z25" s="19"/>
      <c r="AA25" s="19"/>
      <c r="AB25" s="20"/>
      <c r="AC25" s="23" t="s">
        <v>31</v>
      </c>
      <c r="AD25" s="24" t="s">
        <v>49</v>
      </c>
    </row>
    <row r="26" customFormat="false" ht="15" hidden="false" customHeight="false" outlineLevel="0" collapsed="false">
      <c r="A26" s="17" t="n">
        <v>21</v>
      </c>
      <c r="B26" s="18" t="s">
        <v>55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 t="n">
        <f aca="false">600+100</f>
        <v>700</v>
      </c>
      <c r="N26" s="19" t="n">
        <v>195</v>
      </c>
      <c r="O26" s="19" t="n">
        <v>1400</v>
      </c>
      <c r="P26" s="19" t="n">
        <v>40</v>
      </c>
      <c r="Q26" s="19" t="n">
        <v>1800</v>
      </c>
      <c r="R26" s="19" t="n">
        <v>40</v>
      </c>
      <c r="S26" s="19" t="n">
        <v>300</v>
      </c>
      <c r="T26" s="19" t="n">
        <v>85</v>
      </c>
      <c r="U26" s="19" t="n">
        <v>200</v>
      </c>
      <c r="V26" s="19" t="n">
        <v>20</v>
      </c>
      <c r="W26" s="19"/>
      <c r="X26" s="19"/>
      <c r="Y26" s="19"/>
      <c r="Z26" s="19"/>
      <c r="AA26" s="19"/>
      <c r="AB26" s="20"/>
      <c r="AC26" s="23" t="s">
        <v>31</v>
      </c>
      <c r="AD26" s="24" t="s">
        <v>35</v>
      </c>
    </row>
    <row r="27" customFormat="false" ht="15" hidden="false" customHeight="false" outlineLevel="0" collapsed="false">
      <c r="A27" s="17" t="n">
        <v>22</v>
      </c>
      <c r="B27" s="18" t="s">
        <v>56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 t="n">
        <v>270</v>
      </c>
      <c r="N27" s="19" t="n">
        <v>230</v>
      </c>
      <c r="O27" s="19" t="n">
        <v>450</v>
      </c>
      <c r="P27" s="19" t="n">
        <v>40</v>
      </c>
      <c r="Q27" s="19" t="n">
        <v>400</v>
      </c>
      <c r="R27" s="19" t="n">
        <v>35</v>
      </c>
      <c r="S27" s="19"/>
      <c r="T27" s="19"/>
      <c r="U27" s="19" t="n">
        <v>40</v>
      </c>
      <c r="V27" s="19" t="n">
        <v>25</v>
      </c>
      <c r="W27" s="19"/>
      <c r="X27" s="19"/>
      <c r="Y27" s="19"/>
      <c r="Z27" s="19"/>
      <c r="AA27" s="19"/>
      <c r="AB27" s="20"/>
      <c r="AC27" s="23" t="s">
        <v>31</v>
      </c>
      <c r="AD27" s="24" t="s">
        <v>49</v>
      </c>
    </row>
    <row r="28" customFormat="false" ht="15" hidden="false" customHeight="false" outlineLevel="0" collapsed="false">
      <c r="A28" s="17" t="n">
        <v>23</v>
      </c>
      <c r="B28" s="18" t="s">
        <v>57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 t="n">
        <v>320</v>
      </c>
      <c r="N28" s="19" t="n">
        <v>155</v>
      </c>
      <c r="O28" s="19" t="n">
        <v>420</v>
      </c>
      <c r="P28" s="19" t="n">
        <v>22</v>
      </c>
      <c r="Q28" s="19" t="n">
        <v>920</v>
      </c>
      <c r="R28" s="19" t="n">
        <v>18</v>
      </c>
      <c r="S28" s="19" t="n">
        <v>140</v>
      </c>
      <c r="T28" s="19" t="n">
        <v>50</v>
      </c>
      <c r="U28" s="19"/>
      <c r="V28" s="19"/>
      <c r="W28" s="19"/>
      <c r="X28" s="19"/>
      <c r="Y28" s="19"/>
      <c r="Z28" s="19"/>
      <c r="AA28" s="19"/>
      <c r="AB28" s="20"/>
      <c r="AC28" s="23" t="s">
        <v>31</v>
      </c>
      <c r="AD28" s="24" t="s">
        <v>37</v>
      </c>
    </row>
    <row r="29" customFormat="false" ht="15" hidden="false" customHeight="false" outlineLevel="0" collapsed="false">
      <c r="A29" s="17" t="n">
        <v>24</v>
      </c>
      <c r="B29" s="18" t="s">
        <v>58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 t="n">
        <v>580</v>
      </c>
      <c r="N29" s="19" t="n">
        <v>200</v>
      </c>
      <c r="O29" s="19" t="n">
        <v>1000</v>
      </c>
      <c r="P29" s="19" t="n">
        <v>36</v>
      </c>
      <c r="Q29" s="19" t="n">
        <v>1200</v>
      </c>
      <c r="R29" s="19" t="n">
        <v>33</v>
      </c>
      <c r="S29" s="19" t="n">
        <v>300</v>
      </c>
      <c r="T29" s="19" t="n">
        <v>85</v>
      </c>
      <c r="U29" s="19" t="n">
        <v>70</v>
      </c>
      <c r="V29" s="19" t="n">
        <v>25</v>
      </c>
      <c r="W29" s="19"/>
      <c r="X29" s="19"/>
      <c r="Y29" s="19"/>
      <c r="Z29" s="19"/>
      <c r="AA29" s="19"/>
      <c r="AB29" s="20"/>
      <c r="AC29" s="23" t="s">
        <v>31</v>
      </c>
      <c r="AD29" s="24" t="s">
        <v>32</v>
      </c>
    </row>
    <row r="30" customFormat="false" ht="15" hidden="false" customHeight="false" outlineLevel="0" collapsed="false">
      <c r="A30" s="17" t="n">
        <v>25</v>
      </c>
      <c r="B30" s="25" t="s">
        <v>59</v>
      </c>
      <c r="M30" s="19" t="n">
        <v>300</v>
      </c>
      <c r="N30" s="19" t="n">
        <v>210</v>
      </c>
      <c r="O30" s="19" t="n">
        <v>500</v>
      </c>
      <c r="P30" s="19" t="n">
        <v>35</v>
      </c>
      <c r="Q30" s="19" t="n">
        <v>700</v>
      </c>
      <c r="R30" s="19" t="n">
        <v>30</v>
      </c>
      <c r="S30" s="19" t="n">
        <v>100</v>
      </c>
      <c r="T30" s="19" t="n">
        <v>90</v>
      </c>
      <c r="U30" s="19" t="n">
        <v>200</v>
      </c>
      <c r="V30" s="19" t="n">
        <v>10</v>
      </c>
      <c r="W30" s="19"/>
      <c r="X30" s="19"/>
      <c r="Y30" s="19"/>
      <c r="Z30" s="19"/>
      <c r="AA30" s="19"/>
      <c r="AB30" s="20"/>
      <c r="AC30" s="23" t="s">
        <v>31</v>
      </c>
      <c r="AD30" s="24" t="s">
        <v>32</v>
      </c>
    </row>
    <row r="31" customFormat="false" ht="15" hidden="false" customHeight="false" outlineLevel="0" collapsed="false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9"/>
      <c r="AC31" s="30"/>
      <c r="AD31" s="31"/>
    </row>
    <row r="32" customFormat="false" ht="15" hidden="false" customHeight="true" outlineLevel="0" collapsed="false">
      <c r="A32" s="32" t="s">
        <v>60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 t="n">
        <f aca="false">SUM(M6:M31)</f>
        <v>10851</v>
      </c>
      <c r="N32" s="34"/>
      <c r="O32" s="34" t="n">
        <f aca="false">SUM(O6:O31)</f>
        <v>17960</v>
      </c>
      <c r="P32" s="34"/>
      <c r="Q32" s="34" t="n">
        <f aca="false">SUM(Q6:Q31)</f>
        <v>23025</v>
      </c>
      <c r="R32" s="34"/>
      <c r="S32" s="34" t="n">
        <f aca="false">SUM(S6:S31)</f>
        <v>4630</v>
      </c>
      <c r="T32" s="34"/>
      <c r="U32" s="34" t="n">
        <f aca="false">SUM(U6:U31)</f>
        <v>2346</v>
      </c>
      <c r="V32" s="34"/>
      <c r="W32" s="34" t="n">
        <f aca="false">SUM(W6:W31)</f>
        <v>100</v>
      </c>
      <c r="X32" s="34"/>
      <c r="Y32" s="34"/>
      <c r="Z32" s="34"/>
      <c r="AA32" s="34"/>
      <c r="AB32" s="34"/>
      <c r="AC32" s="35"/>
      <c r="AD32" s="36"/>
    </row>
    <row r="33" customFormat="false" ht="15" hidden="false" customHeight="fals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customFormat="false" ht="15" hidden="false" customHeight="false" outlineLevel="0" collapsed="false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40"/>
    </row>
  </sheetData>
  <autoFilter ref="A5:AD32"/>
  <mergeCells count="5">
    <mergeCell ref="A1:AD1"/>
    <mergeCell ref="A2:AD2"/>
    <mergeCell ref="A3:AD3"/>
    <mergeCell ref="A32:B32"/>
    <mergeCell ref="B34:M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2025-10-29T12:28:24Z</dcterms:created>
  <dc:creator>BISHAWJIT GHOSH</dc:creator>
  <dc:description/>
  <dc:language>en-US</dc:language>
  <cp:lastModifiedBy/>
  <dcterms:modified xsi:type="dcterms:W3CDTF">2025-10-30T12:37:18Z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